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c591fe31342a608/Desktop/Stayable Suites/"/>
    </mc:Choice>
  </mc:AlternateContent>
  <xr:revisionPtr revIDLastSave="310" documentId="8_{49F98999-03FE-4D92-B3C2-8D856CFE2347}" xr6:coauthVersionLast="47" xr6:coauthVersionMax="47" xr10:uidLastSave="{09B78B3A-70A4-46CB-820B-9233527F86A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G32" i="1"/>
  <c r="G31" i="1"/>
  <c r="G30" i="1"/>
  <c r="G29" i="1"/>
  <c r="G28" i="1" l="1"/>
  <c r="G27" i="1"/>
  <c r="G26" i="1" l="1"/>
  <c r="G25" i="1"/>
  <c r="G24" i="1"/>
  <c r="G23" i="1"/>
  <c r="G22" i="1"/>
  <c r="G21" i="1"/>
  <c r="G20" i="1"/>
  <c r="G19" i="1"/>
  <c r="G42" i="1" l="1"/>
  <c r="G44" i="1" l="1"/>
  <c r="G45" i="1" s="1"/>
  <c r="G43" i="1" s="1"/>
</calcChain>
</file>

<file path=xl/sharedStrings.xml><?xml version="1.0" encoding="utf-8"?>
<sst xmlns="http://schemas.openxmlformats.org/spreadsheetml/2006/main" count="75" uniqueCount="74">
  <si>
    <t>PURCHASE ORDER</t>
  </si>
  <si>
    <t>Instructions:</t>
  </si>
  <si>
    <t>PO Number:</t>
  </si>
  <si>
    <t>Enter the legal entity name below the Stayable logo</t>
  </si>
  <si>
    <t>8230 210th Street S, Suite 2</t>
  </si>
  <si>
    <t>PO Date:</t>
  </si>
  <si>
    <t>PO Numbering: [property number]-[date in yymmdd format]-[po number for this date]</t>
  </si>
  <si>
    <t>Boca Raton, FL 33433</t>
  </si>
  <si>
    <t>Vendor ID:</t>
  </si>
  <si>
    <t>Vendor ID is our customer number with the vendor</t>
  </si>
  <si>
    <t>Purchase From:</t>
  </si>
  <si>
    <t>Ship To:</t>
  </si>
  <si>
    <t>Florida Supply &amp; Cleaning Products LLC</t>
  </si>
  <si>
    <t>Enter vendor and hotel information</t>
  </si>
  <si>
    <t>1640 Mason Ave</t>
  </si>
  <si>
    <t>Daytona Beach, FL 32117</t>
  </si>
  <si>
    <t>Contact Name: Ethan Sfera</t>
  </si>
  <si>
    <t>Contact Name:</t>
  </si>
  <si>
    <t>Contact Phone: 3862901050</t>
  </si>
  <si>
    <t>Contact Phone:</t>
  </si>
  <si>
    <t>Shipping Method</t>
  </si>
  <si>
    <t>Payment Terms</t>
  </si>
  <si>
    <t>Order Date</t>
  </si>
  <si>
    <t>2 Day Carrier</t>
  </si>
  <si>
    <t>ACH</t>
  </si>
  <si>
    <t>Enter information here and below with as much detail as possible</t>
  </si>
  <si>
    <t>Item #</t>
  </si>
  <si>
    <t>Item Description</t>
  </si>
  <si>
    <t>Quantity (CS/DZ/EA)</t>
  </si>
  <si>
    <t>Case Price</t>
  </si>
  <si>
    <t>Amount</t>
  </si>
  <si>
    <t>PSQF1</t>
  </si>
  <si>
    <r>
      <t>Queen Fitted Sheet - T200 - PSQF1</t>
    </r>
    <r>
      <rPr>
        <sz val="12"/>
        <color rgb="FF00B0F0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>(1DZ*$81.24)</t>
    </r>
  </si>
  <si>
    <t>All amounts are automatically calculated</t>
  </si>
  <si>
    <t>s</t>
  </si>
  <si>
    <t>T200PSQ1</t>
  </si>
  <si>
    <r>
      <t>Queen Flat Sheet - T200 - T200PSQ1</t>
    </r>
    <r>
      <rPr>
        <sz val="12"/>
        <color rgb="FF00B0F0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>(1DZ*$79.56)</t>
    </r>
  </si>
  <si>
    <t>PSKF1</t>
  </si>
  <si>
    <r>
      <t xml:space="preserve">King Fitted Sheet - T200 - PSKF1 </t>
    </r>
    <r>
      <rPr>
        <b/>
        <sz val="12"/>
        <color rgb="FF0070C0"/>
        <rFont val="Calibri"/>
        <family val="2"/>
        <scheme val="minor"/>
      </rPr>
      <t>(1DZ*$94.68)</t>
    </r>
  </si>
  <si>
    <t>T200PSK1</t>
  </si>
  <si>
    <r>
      <t xml:space="preserve">King Flat Sheet - T200 - T200PSK1 </t>
    </r>
    <r>
      <rPr>
        <b/>
        <sz val="12"/>
        <color rgb="FF0070C0"/>
        <rFont val="Calibri"/>
        <family val="2"/>
        <scheme val="minor"/>
      </rPr>
      <t>(1DZ*$96.6)</t>
    </r>
  </si>
  <si>
    <t>IB24501000</t>
  </si>
  <si>
    <r>
      <t xml:space="preserve">24x50 Bath Towel - IB24501000 (100% Cotton) </t>
    </r>
    <r>
      <rPr>
        <b/>
        <sz val="12"/>
        <color rgb="FF0070C0"/>
        <rFont val="Calibri"/>
        <family val="2"/>
        <scheme val="minor"/>
      </rPr>
      <t>(1DZ*$22.44)</t>
    </r>
  </si>
  <si>
    <t>IH1627</t>
  </si>
  <si>
    <r>
      <t xml:space="preserve">16x27 Hand Towel - IH1627 (100% Cotton) </t>
    </r>
    <r>
      <rPr>
        <b/>
        <sz val="12"/>
        <color rgb="FF0070C0"/>
        <rFont val="Calibri"/>
        <family val="2"/>
        <scheme val="minor"/>
      </rPr>
      <t>(1DZ*$6.72)</t>
    </r>
  </si>
  <si>
    <t>IW121275</t>
  </si>
  <si>
    <r>
      <t xml:space="preserve">12x12 Washcloth - IW121275 (100% Cotton) </t>
    </r>
    <r>
      <rPr>
        <b/>
        <sz val="12"/>
        <color rgb="FF0070C0"/>
        <rFont val="Calibri"/>
        <family val="2"/>
        <scheme val="minor"/>
      </rPr>
      <t>(1DZ*$2.28)</t>
    </r>
  </si>
  <si>
    <t>IE6303</t>
  </si>
  <si>
    <r>
      <t xml:space="preserve">20x30 Bath Mat - IE6303 (100% Cotton) </t>
    </r>
    <r>
      <rPr>
        <b/>
        <sz val="12"/>
        <color rgb="FF0070C0"/>
        <rFont val="Calibri"/>
        <family val="2"/>
        <scheme val="minor"/>
      </rPr>
      <t>(1DZ*$13.68)</t>
    </r>
  </si>
  <si>
    <t>T200PCS1</t>
  </si>
  <si>
    <r>
      <t>Standard Pillowcase - T200PCS1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>(1DZ*$9.12)</t>
    </r>
  </si>
  <si>
    <t>PPC</t>
  </si>
  <si>
    <r>
      <t xml:space="preserve">Standard Pillow Protector 16x28 - PPC </t>
    </r>
    <r>
      <rPr>
        <b/>
        <sz val="12"/>
        <color rgb="FF0070C0"/>
        <rFont val="Calibri"/>
        <family val="2"/>
        <scheme val="minor"/>
      </rPr>
      <t>(1DZ*$15.84)</t>
    </r>
  </si>
  <si>
    <t>FSPILLOW</t>
  </si>
  <si>
    <r>
      <t xml:space="preserve">Standard size pillow. Packed - FSPILLOW </t>
    </r>
    <r>
      <rPr>
        <b/>
        <sz val="12"/>
        <color rgb="FF0070C0"/>
        <rFont val="Calibri"/>
        <family val="2"/>
        <scheme val="minor"/>
      </rPr>
      <t>(1DZ*$75.84</t>
    </r>
    <r>
      <rPr>
        <b/>
        <sz val="12"/>
        <rFont val="Calibri"/>
        <family val="2"/>
        <scheme val="minor"/>
      </rPr>
      <t>)</t>
    </r>
  </si>
  <si>
    <t>WNYLON/WNYLONWINDOW</t>
  </si>
  <si>
    <r>
      <t xml:space="preserve">Shower Curtains - WNYLON/WNYLONWINDOW </t>
    </r>
    <r>
      <rPr>
        <b/>
        <sz val="12"/>
        <color rgb="FF0070C0"/>
        <rFont val="Calibri"/>
        <family val="2"/>
        <scheme val="minor"/>
      </rPr>
      <t>(Each)</t>
    </r>
  </si>
  <si>
    <r>
      <t xml:space="preserve">King Bed Bug Mattress Protector </t>
    </r>
    <r>
      <rPr>
        <b/>
        <sz val="12"/>
        <color rgb="FF0070C0"/>
        <rFont val="Calibri"/>
        <family val="2"/>
        <scheme val="minor"/>
      </rPr>
      <t>(Each)</t>
    </r>
  </si>
  <si>
    <r>
      <t xml:space="preserve">Queen Bed Bug Mattress Protector </t>
    </r>
    <r>
      <rPr>
        <b/>
        <sz val="12"/>
        <color rgb="FF0070C0"/>
        <rFont val="Calibri"/>
        <family val="2"/>
        <scheme val="minor"/>
      </rPr>
      <t>(Each)</t>
    </r>
  </si>
  <si>
    <t>Enter Any other items here if not listed above</t>
  </si>
  <si>
    <t>Subtotal</t>
  </si>
  <si>
    <t>Notes and Instructions</t>
  </si>
  <si>
    <t>Freight</t>
  </si>
  <si>
    <t>Sales Tax</t>
  </si>
  <si>
    <t>Order Total</t>
  </si>
  <si>
    <t>Provide additional notes and instructions, e.g., where to send invoices, special requests, etc.</t>
  </si>
  <si>
    <t>Enter freight amount as percentage of subtotal</t>
  </si>
  <si>
    <t>Approved by:</t>
  </si>
  <si>
    <t>Enter tax amount as percentage of subtotal</t>
  </si>
  <si>
    <t>General Manager</t>
  </si>
  <si>
    <t>Date</t>
  </si>
  <si>
    <t>Team Leader approval required before Corporate approval</t>
  </si>
  <si>
    <t>Corporate Approver</t>
  </si>
  <si>
    <t>Corporate approval required per spending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</si>
</sst>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mm/dd/yy;@"/>
    <numFmt numFmtId="166" formatCode="_-[$$-409]* #,##0.00_ ;_-[$$-409]* \-#,##0.00\ ;_-[$$-409]* &quot;-&quot;??_ ;_-@_ 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165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/>
    </xf>
    <xf numFmtId="0" fontId="4" fillId="3" borderId="0" xfId="0" applyFont="1" applyFill="1"/>
    <xf numFmtId="0" fontId="2" fillId="0" borderId="1" xfId="0" applyFont="1" applyBorder="1"/>
    <xf numFmtId="43" fontId="4" fillId="0" borderId="0" xfId="1" applyFont="1" applyFill="1" applyBorder="1" applyAlignment="1"/>
    <xf numFmtId="43" fontId="2" fillId="3" borderId="1" xfId="1" applyFont="1" applyFill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/>
    <xf numFmtId="44" fontId="4" fillId="0" borderId="1" xfId="2" applyFont="1" applyFill="1" applyBorder="1" applyAlignment="1"/>
    <xf numFmtId="0" fontId="4" fillId="0" borderId="1" xfId="0" applyFont="1" applyBorder="1" applyProtection="1">
      <protection locked="0"/>
    </xf>
    <xf numFmtId="43" fontId="4" fillId="0" borderId="1" xfId="1" applyFont="1" applyFill="1" applyBorder="1" applyAlignment="1" applyProtection="1">
      <alignment horizontal="right"/>
      <protection locked="0"/>
    </xf>
    <xf numFmtId="44" fontId="4" fillId="0" borderId="1" xfId="2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  <xf numFmtId="10" fontId="4" fillId="0" borderId="1" xfId="0" applyNumberFormat="1" applyFont="1" applyBorder="1"/>
    <xf numFmtId="0" fontId="2" fillId="3" borderId="11" xfId="0" applyFont="1" applyFill="1" applyBorder="1" applyAlignment="1">
      <alignment horizontal="right"/>
    </xf>
    <xf numFmtId="0" fontId="4" fillId="3" borderId="1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 applyAlignment="1">
      <alignment horizontal="right"/>
    </xf>
    <xf numFmtId="43" fontId="4" fillId="2" borderId="0" xfId="1" applyFont="1" applyFill="1" applyBorder="1" applyAlignment="1"/>
    <xf numFmtId="0" fontId="4" fillId="2" borderId="0" xfId="0" applyFont="1" applyFill="1"/>
    <xf numFmtId="0" fontId="4" fillId="0" borderId="4" xfId="0" applyFont="1" applyBorder="1" applyAlignment="1">
      <alignment horizontal="right"/>
    </xf>
    <xf numFmtId="166" fontId="4" fillId="0" borderId="1" xfId="2" applyNumberFormat="1" applyFont="1" applyFill="1" applyBorder="1" applyAlignment="1" applyProtection="1">
      <alignment horizontal="center"/>
    </xf>
    <xf numFmtId="166" fontId="4" fillId="0" borderId="1" xfId="2" applyNumberFormat="1" applyFont="1" applyFill="1" applyBorder="1" applyAlignment="1" applyProtection="1"/>
    <xf numFmtId="166" fontId="2" fillId="3" borderId="11" xfId="2" applyNumberFormat="1" applyFont="1" applyFill="1" applyBorder="1" applyProtection="1"/>
    <xf numFmtId="0" fontId="6" fillId="0" borderId="0" xfId="0" applyFont="1"/>
    <xf numFmtId="0" fontId="7" fillId="0" borderId="0" xfId="0" applyFont="1"/>
    <xf numFmtId="167" fontId="4" fillId="2" borderId="1" xfId="1" applyNumberFormat="1" applyFont="1" applyFill="1" applyBorder="1" applyAlignment="1" applyProtection="1">
      <alignment horizontal="right"/>
      <protection locked="0"/>
    </xf>
    <xf numFmtId="167" fontId="4" fillId="0" borderId="1" xfId="1" applyNumberFormat="1" applyFont="1" applyFill="1" applyBorder="1" applyAlignment="1" applyProtection="1">
      <alignment horizontal="right"/>
      <protection locked="0"/>
    </xf>
    <xf numFmtId="166" fontId="0" fillId="0" borderId="0" xfId="0" applyNumberFormat="1"/>
    <xf numFmtId="0" fontId="2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 applyProtection="1">
      <alignment vertical="top"/>
      <protection locked="0"/>
    </xf>
    <xf numFmtId="0" fontId="4" fillId="2" borderId="7" xfId="0" applyFont="1" applyFill="1" applyBorder="1" applyAlignment="1" applyProtection="1">
      <alignment vertical="top"/>
      <protection locked="0"/>
    </xf>
    <xf numFmtId="0" fontId="4" fillId="2" borderId="8" xfId="0" applyFont="1" applyFill="1" applyBorder="1" applyAlignment="1" applyProtection="1">
      <alignment vertical="top"/>
      <protection locked="0"/>
    </xf>
    <xf numFmtId="0" fontId="4" fillId="2" borderId="9" xfId="0" applyFont="1" applyFill="1" applyBorder="1" applyAlignment="1" applyProtection="1">
      <alignment vertical="top"/>
      <protection locked="0"/>
    </xf>
    <xf numFmtId="0" fontId="4" fillId="2" borderId="0" xfId="0" applyFont="1" applyFill="1" applyAlignment="1" applyProtection="1">
      <alignment vertical="top"/>
      <protection locked="0"/>
    </xf>
    <xf numFmtId="0" fontId="4" fillId="2" borderId="10" xfId="0" applyFont="1" applyFill="1" applyBorder="1" applyAlignment="1" applyProtection="1">
      <alignment vertical="top"/>
      <protection locked="0"/>
    </xf>
    <xf numFmtId="0" fontId="4" fillId="2" borderId="12" xfId="0" applyFont="1" applyFill="1" applyBorder="1" applyAlignment="1" applyProtection="1">
      <alignment vertical="top"/>
      <protection locked="0"/>
    </xf>
    <xf numFmtId="0" fontId="4" fillId="2" borderId="13" xfId="0" applyFont="1" applyFill="1" applyBorder="1" applyAlignment="1" applyProtection="1">
      <alignment vertical="top"/>
      <protection locked="0"/>
    </xf>
    <xf numFmtId="0" fontId="4" fillId="2" borderId="14" xfId="0" applyFont="1" applyFill="1" applyBorder="1" applyAlignment="1" applyProtection="1">
      <alignment vertical="top"/>
      <protection locked="0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14" fontId="2" fillId="2" borderId="1" xfId="0" applyNumberFormat="1" applyFont="1" applyFill="1" applyBorder="1" applyAlignment="1" applyProtection="1">
      <alignment horizontal="left" indent="1"/>
      <protection locked="0"/>
    </xf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2" borderId="1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2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 indent="1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38100</xdr:rowOff>
    </xdr:from>
    <xdr:to>
      <xdr:col>2</xdr:col>
      <xdr:colOff>129107</xdr:colOff>
      <xdr:row>4</xdr:row>
      <xdr:rowOff>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51C00-85EA-BD09-4868-6D71464A1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8100"/>
          <a:ext cx="1714739" cy="74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58"/>
  <sheetViews>
    <sheetView showGridLines="0" tabSelected="1" zoomScale="85" zoomScaleNormal="85" workbookViewId="0">
      <selection activeCell="D10" sqref="D10"/>
    </sheetView>
  </sheetViews>
  <sheetFormatPr defaultRowHeight="15" x14ac:dyDescent="0.25"/>
  <cols>
    <col min="1" max="1" width="2.7109375" customWidth="1"/>
    <col min="2" max="2" width="24.5703125" customWidth="1"/>
    <col min="3" max="3" width="47.140625" bestFit="1" customWidth="1"/>
    <col min="4" max="4" width="32.42578125" customWidth="1"/>
    <col min="5" max="5" width="23.28515625" bestFit="1" customWidth="1"/>
    <col min="6" max="6" width="10.7109375" bestFit="1" customWidth="1"/>
    <col min="7" max="7" width="15.85546875" customWidth="1"/>
    <col min="15" max="16" width="0" hidden="1" customWidth="1"/>
  </cols>
  <sheetData>
    <row r="1" spans="2:9" x14ac:dyDescent="0.25">
      <c r="E1" s="41" t="s">
        <v>0</v>
      </c>
      <c r="F1" s="41"/>
      <c r="G1" s="41"/>
    </row>
    <row r="2" spans="2:9" x14ac:dyDescent="0.25">
      <c r="E2" s="41"/>
      <c r="F2" s="41"/>
      <c r="G2" s="41"/>
    </row>
    <row r="3" spans="2:9" ht="15.75" x14ac:dyDescent="0.25">
      <c r="E3" s="42"/>
      <c r="F3" s="42"/>
      <c r="G3" s="42"/>
      <c r="I3" s="31" t="s">
        <v>1</v>
      </c>
    </row>
    <row r="4" spans="2:9" ht="15.75" x14ac:dyDescent="0.25">
      <c r="E4" s="2" t="s">
        <v>2</v>
      </c>
      <c r="F4" s="61"/>
      <c r="G4" s="61"/>
      <c r="I4" s="32" t="s">
        <v>3</v>
      </c>
    </row>
    <row r="5" spans="2:9" ht="15.75" x14ac:dyDescent="0.25">
      <c r="B5" s="1" t="s">
        <v>4</v>
      </c>
      <c r="C5" s="1"/>
      <c r="D5" s="1"/>
      <c r="E5" s="2" t="s">
        <v>5</v>
      </c>
      <c r="F5" s="61"/>
      <c r="G5" s="61"/>
      <c r="I5" s="32" t="s">
        <v>6</v>
      </c>
    </row>
    <row r="6" spans="2:9" ht="15.75" x14ac:dyDescent="0.25">
      <c r="B6" s="1" t="s">
        <v>7</v>
      </c>
      <c r="C6" s="1"/>
      <c r="D6" s="1"/>
      <c r="E6" s="2" t="s">
        <v>8</v>
      </c>
      <c r="F6" s="77"/>
      <c r="G6" s="77"/>
      <c r="I6" s="32" t="s">
        <v>9</v>
      </c>
    </row>
    <row r="7" spans="2:9" ht="15.75" x14ac:dyDescent="0.25">
      <c r="B7" s="3"/>
      <c r="C7" s="3"/>
      <c r="D7" s="3"/>
      <c r="E7" s="3"/>
      <c r="F7" s="4"/>
      <c r="G7" s="5"/>
      <c r="I7" s="32"/>
    </row>
    <row r="8" spans="2:9" ht="15.75" x14ac:dyDescent="0.25">
      <c r="B8" s="6" t="s">
        <v>10</v>
      </c>
      <c r="C8" s="6"/>
      <c r="D8" s="6"/>
      <c r="E8" s="6" t="s">
        <v>11</v>
      </c>
      <c r="F8" s="6"/>
      <c r="G8" s="7"/>
      <c r="I8" s="32"/>
    </row>
    <row r="9" spans="2:9" ht="15.75" x14ac:dyDescent="0.25">
      <c r="B9" s="73" t="s">
        <v>12</v>
      </c>
      <c r="C9" s="73"/>
      <c r="D9" s="4"/>
      <c r="E9" s="74"/>
      <c r="F9" s="74"/>
      <c r="G9" s="74"/>
      <c r="I9" s="32" t="s">
        <v>13</v>
      </c>
    </row>
    <row r="10" spans="2:9" ht="15.75" x14ac:dyDescent="0.25">
      <c r="B10" s="73" t="s">
        <v>14</v>
      </c>
      <c r="C10" s="73"/>
      <c r="D10" s="4"/>
      <c r="E10" s="74"/>
      <c r="F10" s="74"/>
      <c r="G10" s="74"/>
      <c r="I10" s="32"/>
    </row>
    <row r="11" spans="2:9" ht="15.75" x14ac:dyDescent="0.25">
      <c r="B11" s="73" t="s">
        <v>15</v>
      </c>
      <c r="C11" s="73"/>
      <c r="D11" s="4"/>
      <c r="E11" s="74"/>
      <c r="F11" s="74"/>
      <c r="G11" s="74"/>
      <c r="I11" s="32"/>
    </row>
    <row r="12" spans="2:9" ht="15.75" x14ac:dyDescent="0.25">
      <c r="B12" s="43" t="s">
        <v>16</v>
      </c>
      <c r="C12" s="43"/>
      <c r="D12" s="44"/>
      <c r="E12" s="8" t="s">
        <v>17</v>
      </c>
      <c r="F12" s="75"/>
      <c r="G12" s="75"/>
      <c r="I12" s="32"/>
    </row>
    <row r="13" spans="2:9" ht="15.75" x14ac:dyDescent="0.25">
      <c r="B13" s="43" t="s">
        <v>18</v>
      </c>
      <c r="C13" s="43"/>
      <c r="D13" s="44"/>
      <c r="E13" s="8" t="s">
        <v>19</v>
      </c>
      <c r="F13" s="76"/>
      <c r="G13" s="76"/>
      <c r="I13" s="32"/>
    </row>
    <row r="14" spans="2:9" ht="15.75" x14ac:dyDescent="0.25">
      <c r="B14" s="4"/>
      <c r="C14" s="4"/>
      <c r="D14" s="4"/>
      <c r="E14" s="4"/>
      <c r="F14" s="4"/>
      <c r="G14" s="4"/>
      <c r="I14" s="32"/>
    </row>
    <row r="15" spans="2:9" ht="15.75" x14ac:dyDescent="0.25">
      <c r="B15" s="45" t="s">
        <v>20</v>
      </c>
      <c r="C15" s="45"/>
      <c r="D15" s="45" t="s">
        <v>21</v>
      </c>
      <c r="E15" s="45"/>
      <c r="F15" s="45" t="s">
        <v>22</v>
      </c>
      <c r="G15" s="45"/>
      <c r="I15" s="32"/>
    </row>
    <row r="16" spans="2:9" ht="15.75" x14ac:dyDescent="0.25">
      <c r="B16" s="71" t="s">
        <v>23</v>
      </c>
      <c r="C16" s="71"/>
      <c r="D16" s="71" t="s">
        <v>24</v>
      </c>
      <c r="E16" s="71"/>
      <c r="F16" s="72"/>
      <c r="G16" s="72"/>
      <c r="I16" s="32" t="s">
        <v>25</v>
      </c>
    </row>
    <row r="17" spans="2:17" ht="15.75" x14ac:dyDescent="0.25">
      <c r="B17" s="4"/>
      <c r="C17" s="4"/>
      <c r="D17" s="4"/>
      <c r="E17" s="9"/>
      <c r="F17" s="4"/>
      <c r="G17" s="4"/>
      <c r="I17" s="32"/>
    </row>
    <row r="18" spans="2:17" ht="15.75" x14ac:dyDescent="0.25">
      <c r="B18" s="36" t="s">
        <v>26</v>
      </c>
      <c r="C18" s="67" t="s">
        <v>27</v>
      </c>
      <c r="D18" s="68"/>
      <c r="E18" s="10" t="s">
        <v>28</v>
      </c>
      <c r="F18" s="36" t="s">
        <v>29</v>
      </c>
      <c r="G18" s="36" t="s">
        <v>30</v>
      </c>
      <c r="I18" s="32"/>
    </row>
    <row r="19" spans="2:17" ht="15.75" x14ac:dyDescent="0.25">
      <c r="B19" s="11" t="s">
        <v>31</v>
      </c>
      <c r="C19" s="62" t="s">
        <v>32</v>
      </c>
      <c r="D19" s="66"/>
      <c r="E19" s="33"/>
      <c r="F19" s="28"/>
      <c r="G19" s="29">
        <f>E19*F19</f>
        <v>0</v>
      </c>
      <c r="I19" s="32" t="s">
        <v>33</v>
      </c>
      <c r="O19" s="35">
        <v>89.67</v>
      </c>
      <c r="P19" s="35">
        <f t="shared" ref="P19:P28" si="0">O19/12</f>
        <v>7.4725000000000001</v>
      </c>
      <c r="Q19" t="s">
        <v>34</v>
      </c>
    </row>
    <row r="20" spans="2:17" ht="15.75" x14ac:dyDescent="0.25">
      <c r="B20" s="11" t="s">
        <v>35</v>
      </c>
      <c r="C20" s="62" t="s">
        <v>36</v>
      </c>
      <c r="D20" s="66"/>
      <c r="E20" s="33"/>
      <c r="F20" s="28"/>
      <c r="G20" s="29">
        <f t="shared" ref="G20:G22" si="1">E20*F20</f>
        <v>0</v>
      </c>
      <c r="I20" s="32"/>
      <c r="O20">
        <v>74.3</v>
      </c>
      <c r="P20" s="35">
        <f t="shared" si="0"/>
        <v>6.1916666666666664</v>
      </c>
    </row>
    <row r="21" spans="2:17" ht="15.75" x14ac:dyDescent="0.25">
      <c r="B21" s="11" t="s">
        <v>37</v>
      </c>
      <c r="C21" s="62" t="s">
        <v>38</v>
      </c>
      <c r="D21" s="66"/>
      <c r="E21" s="33"/>
      <c r="F21" s="28"/>
      <c r="G21" s="29">
        <f t="shared" si="1"/>
        <v>0</v>
      </c>
      <c r="I21" s="32"/>
      <c r="O21">
        <v>104.58</v>
      </c>
      <c r="P21" s="35">
        <f t="shared" si="0"/>
        <v>8.7149999999999999</v>
      </c>
    </row>
    <row r="22" spans="2:17" ht="15.75" x14ac:dyDescent="0.25">
      <c r="B22" s="11" t="s">
        <v>39</v>
      </c>
      <c r="C22" s="62" t="s">
        <v>40</v>
      </c>
      <c r="D22" s="66"/>
      <c r="E22" s="33"/>
      <c r="F22" s="28"/>
      <c r="G22" s="29">
        <f t="shared" si="1"/>
        <v>0</v>
      </c>
      <c r="I22" s="32"/>
      <c r="O22">
        <v>90.27</v>
      </c>
      <c r="P22" s="35">
        <f t="shared" si="0"/>
        <v>7.5225</v>
      </c>
    </row>
    <row r="23" spans="2:17" ht="15.75" x14ac:dyDescent="0.25">
      <c r="B23" s="11" t="s">
        <v>41</v>
      </c>
      <c r="C23" s="62" t="s">
        <v>42</v>
      </c>
      <c r="D23" s="66"/>
      <c r="E23" s="33"/>
      <c r="F23" s="28"/>
      <c r="G23" s="29">
        <f t="shared" ref="G23:G28" si="2">E23*F23</f>
        <v>0</v>
      </c>
      <c r="I23" s="32"/>
      <c r="O23">
        <v>26.07</v>
      </c>
      <c r="P23" s="35">
        <f t="shared" si="0"/>
        <v>2.1724999999999999</v>
      </c>
    </row>
    <row r="24" spans="2:17" ht="15.75" x14ac:dyDescent="0.25">
      <c r="B24" s="11" t="s">
        <v>43</v>
      </c>
      <c r="C24" s="62" t="s">
        <v>44</v>
      </c>
      <c r="D24" s="66"/>
      <c r="E24" s="33"/>
      <c r="F24" s="28"/>
      <c r="G24" s="29">
        <f t="shared" si="2"/>
        <v>0</v>
      </c>
      <c r="I24" s="32"/>
      <c r="O24">
        <v>7.82</v>
      </c>
      <c r="P24" s="35">
        <f t="shared" si="0"/>
        <v>0.65166666666666673</v>
      </c>
    </row>
    <row r="25" spans="2:17" ht="15.75" x14ac:dyDescent="0.25">
      <c r="B25" s="11" t="s">
        <v>45</v>
      </c>
      <c r="C25" s="62" t="s">
        <v>46</v>
      </c>
      <c r="D25" s="66"/>
      <c r="E25" s="33"/>
      <c r="F25" s="28"/>
      <c r="G25" s="29">
        <f t="shared" si="2"/>
        <v>0</v>
      </c>
      <c r="I25" s="32"/>
      <c r="O25">
        <v>2.61</v>
      </c>
      <c r="P25" s="35">
        <f t="shared" si="0"/>
        <v>0.2175</v>
      </c>
    </row>
    <row r="26" spans="2:17" ht="15.75" x14ac:dyDescent="0.25">
      <c r="B26" s="11" t="s">
        <v>47</v>
      </c>
      <c r="C26" s="62" t="s">
        <v>48</v>
      </c>
      <c r="D26" s="66"/>
      <c r="E26" s="33"/>
      <c r="F26" s="28"/>
      <c r="G26" s="29">
        <f t="shared" si="2"/>
        <v>0</v>
      </c>
      <c r="I26" s="32"/>
      <c r="O26">
        <v>18.25</v>
      </c>
      <c r="P26" s="35">
        <f t="shared" si="0"/>
        <v>1.5208333333333333</v>
      </c>
    </row>
    <row r="27" spans="2:17" ht="15.75" x14ac:dyDescent="0.25">
      <c r="B27" s="12" t="s">
        <v>49</v>
      </c>
      <c r="C27" s="69" t="s">
        <v>50</v>
      </c>
      <c r="D27" s="70"/>
      <c r="E27" s="33"/>
      <c r="F27" s="28"/>
      <c r="G27" s="29">
        <f t="shared" si="2"/>
        <v>0</v>
      </c>
      <c r="I27" s="32"/>
      <c r="O27">
        <v>11.93</v>
      </c>
      <c r="P27" s="35">
        <f t="shared" si="0"/>
        <v>0.99416666666666664</v>
      </c>
    </row>
    <row r="28" spans="2:17" ht="15.75" x14ac:dyDescent="0.25">
      <c r="B28" s="12" t="s">
        <v>51</v>
      </c>
      <c r="C28" s="69" t="s">
        <v>52</v>
      </c>
      <c r="D28" s="70"/>
      <c r="E28" s="33"/>
      <c r="F28" s="28"/>
      <c r="G28" s="29">
        <f t="shared" si="2"/>
        <v>0</v>
      </c>
      <c r="I28" s="32"/>
      <c r="O28">
        <v>19.16</v>
      </c>
      <c r="P28" s="35">
        <f t="shared" si="0"/>
        <v>1.5966666666666667</v>
      </c>
    </row>
    <row r="29" spans="2:17" ht="15.75" x14ac:dyDescent="0.25">
      <c r="B29" s="12" t="s">
        <v>53</v>
      </c>
      <c r="C29" s="69" t="s">
        <v>54</v>
      </c>
      <c r="D29" s="70"/>
      <c r="E29" s="33"/>
      <c r="F29" s="28"/>
      <c r="G29" s="29">
        <f t="shared" ref="G29:G32" si="3">E29*F29</f>
        <v>0</v>
      </c>
      <c r="I29" s="32"/>
      <c r="O29">
        <v>6.7</v>
      </c>
      <c r="P29" s="35">
        <f>O29</f>
        <v>6.7</v>
      </c>
    </row>
    <row r="30" spans="2:17" ht="15.75" x14ac:dyDescent="0.25">
      <c r="B30" s="12" t="s">
        <v>55</v>
      </c>
      <c r="C30" s="69" t="s">
        <v>56</v>
      </c>
      <c r="D30" s="70"/>
      <c r="E30" s="33"/>
      <c r="F30" s="28"/>
      <c r="G30" s="29">
        <f t="shared" si="3"/>
        <v>0</v>
      </c>
      <c r="I30" s="32"/>
      <c r="O30">
        <v>18.32</v>
      </c>
      <c r="P30" s="35">
        <f>O30</f>
        <v>18.32</v>
      </c>
    </row>
    <row r="31" spans="2:17" ht="15.75" x14ac:dyDescent="0.25">
      <c r="B31" s="12"/>
      <c r="C31" s="69" t="s">
        <v>57</v>
      </c>
      <c r="D31" s="70"/>
      <c r="E31" s="33"/>
      <c r="F31" s="28"/>
      <c r="G31" s="29">
        <f t="shared" si="3"/>
        <v>0</v>
      </c>
      <c r="I31" s="32"/>
      <c r="O31">
        <v>19.43</v>
      </c>
      <c r="P31" s="35">
        <f>O31</f>
        <v>19.43</v>
      </c>
    </row>
    <row r="32" spans="2:17" ht="15.75" x14ac:dyDescent="0.25">
      <c r="B32" s="12"/>
      <c r="C32" s="69" t="s">
        <v>58</v>
      </c>
      <c r="D32" s="70"/>
      <c r="E32" s="33"/>
      <c r="F32" s="28"/>
      <c r="G32" s="29">
        <f t="shared" si="3"/>
        <v>0</v>
      </c>
      <c r="I32" s="32"/>
      <c r="O32">
        <v>16.98</v>
      </c>
      <c r="P32" s="35">
        <f>O32</f>
        <v>16.98</v>
      </c>
    </row>
    <row r="33" spans="2:9" ht="15.75" x14ac:dyDescent="0.25">
      <c r="B33" s="11"/>
      <c r="C33" s="37"/>
      <c r="D33" s="38"/>
      <c r="E33" s="34"/>
      <c r="F33" s="28"/>
      <c r="G33" s="29"/>
      <c r="I33" s="32"/>
    </row>
    <row r="34" spans="2:9" ht="15.75" x14ac:dyDescent="0.25">
      <c r="B34" s="11"/>
      <c r="C34" s="62"/>
      <c r="D34" s="63"/>
      <c r="E34" s="34"/>
      <c r="F34" s="28"/>
      <c r="G34" s="29"/>
      <c r="I34" s="32"/>
    </row>
    <row r="35" spans="2:9" ht="15.75" x14ac:dyDescent="0.25">
      <c r="B35" s="11"/>
      <c r="C35" s="62"/>
      <c r="D35" s="63"/>
      <c r="E35" s="34"/>
      <c r="F35" s="28"/>
      <c r="G35" s="29"/>
      <c r="I35" s="32"/>
    </row>
    <row r="36" spans="2:9" ht="15.75" x14ac:dyDescent="0.25">
      <c r="B36" s="11"/>
      <c r="C36" s="62"/>
      <c r="D36" s="63"/>
      <c r="E36" s="34"/>
      <c r="F36" s="28"/>
      <c r="G36" s="29"/>
      <c r="I36" s="32"/>
    </row>
    <row r="37" spans="2:9" ht="15.75" x14ac:dyDescent="0.25">
      <c r="B37" s="11"/>
      <c r="C37" s="62"/>
      <c r="D37" s="63"/>
      <c r="E37" s="34"/>
      <c r="F37" s="28"/>
      <c r="G37" s="29"/>
      <c r="I37" s="32"/>
    </row>
    <row r="38" spans="2:9" ht="15.75" x14ac:dyDescent="0.25">
      <c r="B38" s="14"/>
      <c r="C38" s="64"/>
      <c r="D38" s="65"/>
      <c r="E38" s="15"/>
      <c r="F38" s="16"/>
      <c r="G38" s="13"/>
      <c r="I38" s="32"/>
    </row>
    <row r="39" spans="2:9" ht="15.75" x14ac:dyDescent="0.25">
      <c r="B39" s="14"/>
      <c r="C39" s="39"/>
      <c r="D39" s="40"/>
      <c r="E39" s="15"/>
      <c r="F39" s="16"/>
      <c r="G39" s="13"/>
      <c r="I39" s="32" t="s">
        <v>59</v>
      </c>
    </row>
    <row r="40" spans="2:9" ht="15.75" x14ac:dyDescent="0.25">
      <c r="B40" s="14"/>
      <c r="C40" s="39"/>
      <c r="D40" s="40"/>
      <c r="E40" s="15"/>
      <c r="F40" s="16"/>
      <c r="G40" s="13"/>
      <c r="I40" s="32"/>
    </row>
    <row r="41" spans="2:9" ht="15.75" x14ac:dyDescent="0.25">
      <c r="B41" s="14"/>
      <c r="C41" s="64"/>
      <c r="D41" s="65"/>
      <c r="E41" s="15"/>
      <c r="F41" s="16"/>
      <c r="G41" s="13"/>
      <c r="I41" s="32"/>
    </row>
    <row r="42" spans="2:9" ht="15.75" x14ac:dyDescent="0.25">
      <c r="B42" s="4"/>
      <c r="C42" s="4"/>
      <c r="D42" s="4"/>
      <c r="E42" s="17" t="s">
        <v>60</v>
      </c>
      <c r="F42" s="11"/>
      <c r="G42" s="18">
        <f>SUM(G19:G41)</f>
        <v>0</v>
      </c>
      <c r="I42" s="32"/>
    </row>
    <row r="43" spans="2:9" ht="15.75" x14ac:dyDescent="0.25">
      <c r="B43" s="45" t="s">
        <v>61</v>
      </c>
      <c r="C43" s="45"/>
      <c r="D43" s="45"/>
      <c r="E43" s="17" t="s">
        <v>62</v>
      </c>
      <c r="F43" s="19">
        <v>0</v>
      </c>
      <c r="G43" s="18">
        <f>G$45*F43</f>
        <v>0</v>
      </c>
      <c r="I43" s="32"/>
    </row>
    <row r="44" spans="2:9" ht="15.75" x14ac:dyDescent="0.25">
      <c r="B44" s="46"/>
      <c r="C44" s="47"/>
      <c r="D44" s="48"/>
      <c r="E44" s="17" t="s">
        <v>63</v>
      </c>
      <c r="F44" s="19">
        <v>6.5000000000000002E-2</v>
      </c>
      <c r="G44" s="18">
        <f>G42*F44</f>
        <v>0</v>
      </c>
      <c r="I44" s="32"/>
    </row>
    <row r="45" spans="2:9" ht="16.5" thickBot="1" x14ac:dyDescent="0.3">
      <c r="B45" s="49"/>
      <c r="C45" s="50"/>
      <c r="D45" s="51"/>
      <c r="E45" s="20" t="s">
        <v>64</v>
      </c>
      <c r="F45" s="21"/>
      <c r="G45" s="30">
        <f>G42+G44</f>
        <v>0</v>
      </c>
      <c r="I45" s="32" t="s">
        <v>65</v>
      </c>
    </row>
    <row r="46" spans="2:9" ht="16.5" thickTop="1" x14ac:dyDescent="0.25">
      <c r="B46" s="49"/>
      <c r="C46" s="50"/>
      <c r="D46" s="51"/>
      <c r="E46" s="4"/>
      <c r="F46" s="4"/>
      <c r="G46" s="4"/>
      <c r="I46" s="32" t="s">
        <v>66</v>
      </c>
    </row>
    <row r="47" spans="2:9" ht="15.75" x14ac:dyDescent="0.25">
      <c r="B47" s="49"/>
      <c r="C47" s="50"/>
      <c r="D47" s="51"/>
      <c r="E47" s="45" t="s">
        <v>67</v>
      </c>
      <c r="F47" s="45"/>
      <c r="G47" s="45"/>
      <c r="I47" s="32" t="s">
        <v>68</v>
      </c>
    </row>
    <row r="48" spans="2:9" ht="15.75" x14ac:dyDescent="0.25">
      <c r="B48" s="49"/>
      <c r="C48" s="50"/>
      <c r="D48" s="51"/>
      <c r="E48" s="9"/>
      <c r="F48" s="4"/>
      <c r="G48" s="4"/>
      <c r="I48" s="32"/>
    </row>
    <row r="49" spans="2:9" ht="15.75" x14ac:dyDescent="0.25">
      <c r="B49" s="49"/>
      <c r="C49" s="50"/>
      <c r="D49" s="51"/>
      <c r="E49" s="55"/>
      <c r="F49" s="56"/>
      <c r="G49" s="57"/>
      <c r="I49" s="32"/>
    </row>
    <row r="50" spans="2:9" ht="15.75" x14ac:dyDescent="0.25">
      <c r="B50" s="49"/>
      <c r="C50" s="50"/>
      <c r="D50" s="51"/>
      <c r="E50" s="58"/>
      <c r="F50" s="59"/>
      <c r="G50" s="60"/>
      <c r="I50" s="32"/>
    </row>
    <row r="51" spans="2:9" ht="15.75" x14ac:dyDescent="0.25">
      <c r="B51" s="49"/>
      <c r="C51" s="50"/>
      <c r="D51" s="51"/>
      <c r="E51" s="22" t="s">
        <v>69</v>
      </c>
      <c r="F51" s="23"/>
      <c r="G51" s="24" t="s">
        <v>70</v>
      </c>
      <c r="I51" s="32"/>
    </row>
    <row r="52" spans="2:9" ht="15.75" x14ac:dyDescent="0.25">
      <c r="B52" s="49"/>
      <c r="C52" s="50"/>
      <c r="D52" s="51"/>
      <c r="E52" s="25"/>
      <c r="F52" s="26"/>
      <c r="G52" s="26"/>
      <c r="I52" s="32" t="s">
        <v>71</v>
      </c>
    </row>
    <row r="53" spans="2:9" ht="15.75" x14ac:dyDescent="0.25">
      <c r="B53" s="49"/>
      <c r="C53" s="50"/>
      <c r="D53" s="51"/>
      <c r="E53" s="55"/>
      <c r="F53" s="56"/>
      <c r="G53" s="57"/>
      <c r="I53" s="32"/>
    </row>
    <row r="54" spans="2:9" ht="15.75" x14ac:dyDescent="0.25">
      <c r="B54" s="49"/>
      <c r="C54" s="50"/>
      <c r="D54" s="51"/>
      <c r="E54" s="58"/>
      <c r="F54" s="59"/>
      <c r="G54" s="60"/>
      <c r="I54" s="32"/>
    </row>
    <row r="55" spans="2:9" ht="15.75" x14ac:dyDescent="0.25">
      <c r="B55" s="52"/>
      <c r="C55" s="53"/>
      <c r="D55" s="54"/>
      <c r="E55" s="37" t="s">
        <v>72</v>
      </c>
      <c r="F55" s="38"/>
      <c r="G55" s="27" t="s">
        <v>70</v>
      </c>
      <c r="I55" s="32"/>
    </row>
    <row r="56" spans="2:9" ht="15.75" x14ac:dyDescent="0.25">
      <c r="I56" s="32" t="s">
        <v>73</v>
      </c>
    </row>
    <row r="57" spans="2:9" ht="15.75" x14ac:dyDescent="0.25">
      <c r="I57" s="32"/>
    </row>
    <row r="58" spans="2:9" ht="15.75" x14ac:dyDescent="0.25">
      <c r="I58" s="32"/>
    </row>
  </sheetData>
  <mergeCells count="46">
    <mergeCell ref="B11:C11"/>
    <mergeCell ref="E11:G11"/>
    <mergeCell ref="F12:G12"/>
    <mergeCell ref="F13:G13"/>
    <mergeCell ref="F5:G5"/>
    <mergeCell ref="F6:G6"/>
    <mergeCell ref="B9:C9"/>
    <mergeCell ref="E9:G9"/>
    <mergeCell ref="B10:C10"/>
    <mergeCell ref="E10:G10"/>
    <mergeCell ref="B15:C15"/>
    <mergeCell ref="D15:E15"/>
    <mergeCell ref="F15:G15"/>
    <mergeCell ref="B16:C16"/>
    <mergeCell ref="D16:E16"/>
    <mergeCell ref="F16:G16"/>
    <mergeCell ref="C35:D35"/>
    <mergeCell ref="C36:D36"/>
    <mergeCell ref="C18:D18"/>
    <mergeCell ref="C19:D19"/>
    <mergeCell ref="C20:D20"/>
    <mergeCell ref="C21:D21"/>
    <mergeCell ref="C22:D22"/>
    <mergeCell ref="C34:D34"/>
    <mergeCell ref="C27:D27"/>
    <mergeCell ref="C28:D28"/>
    <mergeCell ref="C29:D29"/>
    <mergeCell ref="C30:D30"/>
    <mergeCell ref="C31:D31"/>
    <mergeCell ref="C32:D32"/>
    <mergeCell ref="E1:G3"/>
    <mergeCell ref="B12:D12"/>
    <mergeCell ref="B13:D13"/>
    <mergeCell ref="B43:D43"/>
    <mergeCell ref="B44:D55"/>
    <mergeCell ref="E47:G47"/>
    <mergeCell ref="E49:G50"/>
    <mergeCell ref="E53:G54"/>
    <mergeCell ref="F4:G4"/>
    <mergeCell ref="C37:D37"/>
    <mergeCell ref="C38:D38"/>
    <mergeCell ref="C41:D41"/>
    <mergeCell ref="C23:D23"/>
    <mergeCell ref="C24:D24"/>
    <mergeCell ref="C25:D25"/>
    <mergeCell ref="C26:D26"/>
  </mergeCells>
  <pageMargins left="0.7" right="0.7" top="0.75" bottom="0.75" header="0.3" footer="0.3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JEFFERSON GOMEZ</cp:lastModifiedBy>
  <cp:revision/>
  <cp:lastPrinted>2026-05-22T18:05:17Z</cp:lastPrinted>
  <dcterms:created xsi:type="dcterms:W3CDTF">2015-06-05T18:17:20Z</dcterms:created>
  <dcterms:modified xsi:type="dcterms:W3CDTF">2026-05-28T20:51:15Z</dcterms:modified>
  <cp:category/>
  <cp:contentStatus/>
</cp:coreProperties>
</file>